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80" windowHeight="74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E28" i="1" l="1"/>
  <c r="C31" i="1" l="1"/>
  <c r="C28" i="1"/>
  <c r="C29" i="1" s="1"/>
  <c r="D29" i="1" l="1"/>
  <c r="C26" i="1" l="1"/>
  <c r="D26" i="1" l="1"/>
</calcChain>
</file>

<file path=xl/sharedStrings.xml><?xml version="1.0" encoding="utf-8"?>
<sst xmlns="http://schemas.openxmlformats.org/spreadsheetml/2006/main" count="50" uniqueCount="31">
  <si>
    <t>Админ-панель:</t>
  </si>
  <si>
    <t>Предпринимателям:</t>
  </si>
  <si>
    <t>Клиентам:</t>
  </si>
  <si>
    <t>1)</t>
  </si>
  <si>
    <t>Добавление глобальных категорий услуг (красота, авто и тд)</t>
  </si>
  <si>
    <t>2)</t>
  </si>
  <si>
    <t>Добавление подкатегорий (услуги парикмахера, массаж и тд)</t>
  </si>
  <si>
    <t>3)</t>
  </si>
  <si>
    <t>4)</t>
  </si>
  <si>
    <t>Подключение эквайринга</t>
  </si>
  <si>
    <t>Другое:</t>
  </si>
  <si>
    <t>Управление пользователями</t>
  </si>
  <si>
    <t>Регистрация, заполнение профиля компании (фото, описание, расположение)</t>
  </si>
  <si>
    <t>Создание профилей сотрудников</t>
  </si>
  <si>
    <t>Создание "окошек" по времени для записи</t>
  </si>
  <si>
    <t>Описание задачи</t>
  </si>
  <si>
    <t>Развртывание на сервере (настройка)</t>
  </si>
  <si>
    <t>Разработка структуры базы данных</t>
  </si>
  <si>
    <t>Итого:</t>
  </si>
  <si>
    <t>Создание услуг (в т.ч. разработка страниц услуг, для клиентов)</t>
  </si>
  <si>
    <t>Страница с формой записи (почта, имя, примечание)</t>
  </si>
  <si>
    <t>Страница поиска (в т.ч. векторный поиск и поиск по локации)</t>
  </si>
  <si>
    <t>Сроки (дней):</t>
  </si>
  <si>
    <t>Цена (руб)</t>
  </si>
  <si>
    <t>+</t>
  </si>
  <si>
    <t>Страница "О нас"</t>
  </si>
  <si>
    <t>Остаток:</t>
  </si>
  <si>
    <t>Оплачено:</t>
  </si>
  <si>
    <t>(04.04.2026)</t>
  </si>
  <si>
    <t>До:</t>
  </si>
  <si>
    <t>&lt;- выполнено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</si>
</sst>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4" workbookViewId="0">
      <selection activeCell="K15" sqref="K15:K19"/>
    </sheetView>
  </sheetViews>
  <sheetFormatPr defaultRowHeight="15" x14ac:dyDescent="0.25"/>
  <cols>
    <col min="1" max="1" width="20.7109375" style="5" bestFit="1" customWidth="1"/>
    <col min="2" max="2" width="58.140625" style="6" customWidth="1"/>
    <col min="3" max="3" width="15" customWidth="1"/>
    <col min="4" max="4" width="10.85546875" bestFit="1" customWidth="1"/>
    <col min="5" max="5" width="9.140625" style="8"/>
  </cols>
  <sheetData>
    <row r="1" spans="1:5" x14ac:dyDescent="0.25">
      <c r="B1" s="7" t="s">
        <v>15</v>
      </c>
      <c r="C1" s="1" t="s">
        <v>22</v>
      </c>
      <c r="D1" s="1" t="s">
        <v>23</v>
      </c>
    </row>
    <row r="2" spans="1:5" x14ac:dyDescent="0.25">
      <c r="A2" s="4" t="s">
        <v>0</v>
      </c>
    </row>
    <row r="3" spans="1:5" x14ac:dyDescent="0.25">
      <c r="A3" s="5" t="s">
        <v>3</v>
      </c>
      <c r="B3" s="6" t="s">
        <v>4</v>
      </c>
      <c r="C3">
        <v>3</v>
      </c>
      <c r="D3">
        <v>4000</v>
      </c>
      <c r="E3" s="8" t="s">
        <v>24</v>
      </c>
    </row>
    <row r="4" spans="1:5" x14ac:dyDescent="0.25">
      <c r="A4" s="5" t="s">
        <v>5</v>
      </c>
      <c r="B4" s="6" t="s">
        <v>6</v>
      </c>
      <c r="C4">
        <v>3</v>
      </c>
      <c r="D4">
        <v>4000</v>
      </c>
      <c r="E4" s="8" t="s">
        <v>24</v>
      </c>
    </row>
    <row r="5" spans="1:5" x14ac:dyDescent="0.25">
      <c r="A5" s="5" t="s">
        <v>7</v>
      </c>
      <c r="B5" s="6" t="s">
        <v>11</v>
      </c>
      <c r="C5">
        <v>3</v>
      </c>
      <c r="D5">
        <v>4000</v>
      </c>
      <c r="E5" s="8" t="s">
        <v>24</v>
      </c>
    </row>
    <row r="8" spans="1:5" x14ac:dyDescent="0.25">
      <c r="A8" s="4" t="s">
        <v>1</v>
      </c>
    </row>
    <row r="9" spans="1:5" ht="30" x14ac:dyDescent="0.25">
      <c r="A9" s="5" t="s">
        <v>3</v>
      </c>
      <c r="B9" s="3" t="s">
        <v>12</v>
      </c>
      <c r="C9">
        <v>3</v>
      </c>
      <c r="D9">
        <v>4000</v>
      </c>
      <c r="E9" s="8" t="s">
        <v>24</v>
      </c>
    </row>
    <row r="10" spans="1:5" x14ac:dyDescent="0.25">
      <c r="A10" s="5" t="s">
        <v>5</v>
      </c>
      <c r="B10" s="6" t="s">
        <v>13</v>
      </c>
      <c r="C10">
        <v>2</v>
      </c>
      <c r="D10">
        <v>2000</v>
      </c>
      <c r="E10" s="8" t="s">
        <v>24</v>
      </c>
    </row>
    <row r="11" spans="1:5" x14ac:dyDescent="0.25">
      <c r="A11" s="5" t="s">
        <v>7</v>
      </c>
      <c r="B11" s="6" t="s">
        <v>19</v>
      </c>
      <c r="C11">
        <v>7</v>
      </c>
      <c r="D11">
        <v>7000</v>
      </c>
      <c r="E11" s="8" t="s">
        <v>24</v>
      </c>
    </row>
    <row r="12" spans="1:5" x14ac:dyDescent="0.25">
      <c r="A12" s="5" t="s">
        <v>8</v>
      </c>
      <c r="B12" s="6" t="s">
        <v>14</v>
      </c>
      <c r="C12">
        <v>2</v>
      </c>
      <c r="D12">
        <v>2000</v>
      </c>
      <c r="E12" s="8" t="s">
        <v>24</v>
      </c>
    </row>
    <row r="15" spans="1:5" x14ac:dyDescent="0.25">
      <c r="A15" s="4" t="s">
        <v>2</v>
      </c>
    </row>
    <row r="16" spans="1:5" x14ac:dyDescent="0.25">
      <c r="A16" s="5" t="s">
        <v>3</v>
      </c>
      <c r="B16" s="6" t="s">
        <v>21</v>
      </c>
      <c r="C16">
        <v>5</v>
      </c>
      <c r="D16">
        <v>7000</v>
      </c>
      <c r="E16" s="8" t="s">
        <v>24</v>
      </c>
    </row>
    <row r="17" spans="1:6" x14ac:dyDescent="0.25">
      <c r="A17" s="5" t="s">
        <v>5</v>
      </c>
      <c r="B17" s="6" t="s">
        <v>20</v>
      </c>
      <c r="C17">
        <v>1</v>
      </c>
      <c r="D17">
        <v>2000</v>
      </c>
      <c r="E17" s="8" t="s">
        <v>24</v>
      </c>
    </row>
    <row r="18" spans="1:6" x14ac:dyDescent="0.25">
      <c r="A18" s="5" t="s">
        <v>7</v>
      </c>
      <c r="B18" s="6" t="s">
        <v>25</v>
      </c>
      <c r="C18">
        <v>1</v>
      </c>
      <c r="D18">
        <v>1500</v>
      </c>
      <c r="E18" s="8" t="s">
        <v>24</v>
      </c>
    </row>
    <row r="21" spans="1:6" x14ac:dyDescent="0.25">
      <c r="A21" s="4" t="s">
        <v>10</v>
      </c>
    </row>
    <row r="22" spans="1:6" x14ac:dyDescent="0.25">
      <c r="A22" s="5" t="s">
        <v>3</v>
      </c>
      <c r="B22" s="6" t="s">
        <v>9</v>
      </c>
      <c r="C22">
        <v>3</v>
      </c>
      <c r="D22">
        <v>5000</v>
      </c>
    </row>
    <row r="23" spans="1:6" x14ac:dyDescent="0.25">
      <c r="A23" s="5" t="s">
        <v>5</v>
      </c>
      <c r="B23" s="6" t="s">
        <v>16</v>
      </c>
      <c r="C23">
        <v>2</v>
      </c>
      <c r="D23">
        <v>4000</v>
      </c>
    </row>
    <row r="24" spans="1:6" x14ac:dyDescent="0.25">
      <c r="A24" s="5" t="s">
        <v>7</v>
      </c>
      <c r="B24" s="6" t="s">
        <v>17</v>
      </c>
      <c r="C24">
        <v>1</v>
      </c>
      <c r="D24">
        <v>3000</v>
      </c>
      <c r="E24" s="8" t="s">
        <v>24</v>
      </c>
    </row>
    <row r="26" spans="1:6" x14ac:dyDescent="0.25">
      <c r="B26" s="2" t="s">
        <v>18</v>
      </c>
      <c r="C26">
        <f>SUM(C2:C24)</f>
        <v>36</v>
      </c>
      <c r="D26">
        <f>SUM(D2:D24)</f>
        <v>49500</v>
      </c>
    </row>
    <row r="27" spans="1:6" x14ac:dyDescent="0.25">
      <c r="C27" s="9" t="s">
        <v>28</v>
      </c>
    </row>
    <row r="28" spans="1:6" x14ac:dyDescent="0.25">
      <c r="B28" s="9" t="s">
        <v>27</v>
      </c>
      <c r="C28">
        <f ca="1">TODAY() - DATE(2026,4,4)</f>
        <v>44</v>
      </c>
      <c r="D28">
        <f>5000+15000+29500</f>
        <v>49500</v>
      </c>
      <c r="E28" s="8">
        <f>SUMIF(E2:E25, "+", D2:D25)</f>
        <v>40500</v>
      </c>
      <c r="F28" t="s">
        <v>30</v>
      </c>
    </row>
    <row r="29" spans="1:6" x14ac:dyDescent="0.25">
      <c r="B29" s="9" t="s">
        <v>26</v>
      </c>
      <c r="C29">
        <f ca="1">(DATE(2026,4,4)+36) - DATE(2026,4,4) - C28</f>
        <v>-8</v>
      </c>
      <c r="D29">
        <f>D26-D28</f>
        <v>0</v>
      </c>
    </row>
    <row r="31" spans="1:6" x14ac:dyDescent="0.25">
      <c r="B31" s="9" t="s">
        <v>29</v>
      </c>
      <c r="C31" s="10">
        <f>DATE(2026,4,4)+36</f>
        <v>46152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2026-05-17T21:59:33Z</dcterms:modified>
</cp:coreProperties>
</file>